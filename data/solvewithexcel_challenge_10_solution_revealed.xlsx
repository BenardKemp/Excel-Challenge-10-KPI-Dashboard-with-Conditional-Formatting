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Sa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1E7DD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SolveWithExcel – Challenge #10: KPI Dashboard with Conditional Formatting</t>
        </is>
      </c>
    </row>
    <row r="3">
      <c r="A3" s="2" t="inlineStr">
        <is>
          <t>This is the solution-revealed workbook.</t>
        </is>
      </c>
    </row>
    <row r="5">
      <c r="A5" s="2" t="inlineStr">
        <is>
          <t>What’s included:</t>
        </is>
      </c>
    </row>
    <row r="6">
      <c r="A6" t="inlineStr">
        <is>
          <t>• KPI formulas (Latest, Previous, MoM %, Status, Average).</t>
        </is>
      </c>
    </row>
    <row r="7">
      <c r="A7" t="inlineStr">
        <is>
          <t>• Conditional formatting rules for MoM %, Status, and Latest vs Average.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s="4" t="n">
        <v>45658</v>
      </c>
      <c r="B2" t="n">
        <v>15100</v>
      </c>
    </row>
    <row r="3">
      <c r="A3" s="4" t="n">
        <v>45689</v>
      </c>
      <c r="B3" t="n">
        <v>14750</v>
      </c>
    </row>
    <row r="4">
      <c r="A4" s="4" t="n">
        <v>45717</v>
      </c>
      <c r="B4" t="n">
        <v>15900</v>
      </c>
    </row>
    <row r="5">
      <c r="A5" s="4" t="n">
        <v>45748</v>
      </c>
      <c r="B5" t="n">
        <v>16250</v>
      </c>
    </row>
    <row r="6">
      <c r="A6" s="4" t="n">
        <v>45778</v>
      </c>
      <c r="B6" t="n">
        <v>16800</v>
      </c>
    </row>
    <row r="7">
      <c r="A7" s="4" t="n">
        <v>45809</v>
      </c>
      <c r="B7" t="n">
        <v>17200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Latest Month Sales</t>
        </is>
      </c>
      <c r="B2">
        <f>LOOKUP(2,1/(MonthlySales!B:B&lt;&gt;""),MonthlySales!B:B)</f>
        <v/>
      </c>
    </row>
    <row r="3">
      <c r="A3" t="inlineStr">
        <is>
          <t>Previous Month Sales</t>
        </is>
      </c>
      <c r="B3">
        <f>LOOKUP(2,1/(ROW(MonthlySales!B:B)&lt;ROW(LOOKUP(2,1/(MonthlySales!B:B&lt;&gt;""),ROW(MonthlySales!B:B)))),MonthlySales!B:B)</f>
        <v/>
      </c>
    </row>
    <row r="4">
      <c r="A4" t="inlineStr">
        <is>
          <t>MoM Change %</t>
        </is>
      </c>
      <c r="B4" s="5">
        <f>(B2-B3)/B3</f>
        <v/>
      </c>
    </row>
    <row r="5">
      <c r="A5" t="inlineStr">
        <is>
          <t>Status (Up/Down/Flat)</t>
        </is>
      </c>
      <c r="B5">
        <f>IF(B4&gt;0,"Up",IF(B4&lt;0,"Down","Flat"))</f>
        <v/>
      </c>
    </row>
    <row r="6">
      <c r="A6" t="inlineStr">
        <is>
          <t>6-Month Average Sales</t>
        </is>
      </c>
      <c r="B6">
        <f>AVERAGE(MonthlySales!B2:B7)</f>
        <v/>
      </c>
    </row>
  </sheetData>
  <conditionalFormatting sqref="B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5">
    <cfRule type="expression" priority="3" dxfId="0">
      <formula>B5="Up"</formula>
    </cfRule>
    <cfRule type="expression" priority="4" dxfId="1">
      <formula>B5="Down"</formula>
    </cfRule>
    <cfRule type="expression" priority="5" dxfId="2">
      <formula>B5="Flat"</formula>
    </cfRule>
  </conditionalFormatting>
  <conditionalFormatting sqref="B2">
    <cfRule type="expression" priority="6" dxfId="0">
      <formula>B2&gt;B6</formula>
    </cfRule>
    <cfRule type="expression" priority="7" dxfId="1">
      <formula>B2&lt;B6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2026-01-06T10:52:51Z</dcterms:created>
  <dcterms:modified xmlns:dcterms="http://purl.org/dc/terms/" xmlns:xsi="http://www.w3.org/2001/XMLSchema-instance" xsi:type="dcterms:W3CDTF">2026-01-06T10:52:51Z</dcterms:modified>
</cp:coreProperties>
</file>